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ffalostate0-my.sharepoint.com/personal/pately02_buffalostate_edu/Documents/SPRING 2025/CIS 370/"/>
    </mc:Choice>
  </mc:AlternateContent>
  <xr:revisionPtr revIDLastSave="156" documentId="13_ncr:1_{666F9903-3F27-47B9-B7EF-C01E7ED10413}" xr6:coauthVersionLast="47" xr6:coauthVersionMax="47" xr10:uidLastSave="{1A8F5927-8EF3-4317-9873-432EBE6B05E1}"/>
  <bookViews>
    <workbookView xWindow="1848" yWindow="1848" windowWidth="17280" windowHeight="8880" xr2:uid="{E849E90D-C56A-4FDC-A494-29F9F9F8AAF4}"/>
  </bookViews>
  <sheets>
    <sheet name="Estimat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5" i="1" l="1"/>
  <c r="D59" i="1"/>
  <c r="D57" i="1"/>
  <c r="D52" i="1"/>
  <c r="D51" i="1"/>
  <c r="D50" i="1"/>
  <c r="D49" i="1"/>
  <c r="E61" i="1" l="1"/>
  <c r="E53" i="1"/>
  <c r="D41" i="1"/>
  <c r="D42" i="1"/>
  <c r="D43" i="1"/>
  <c r="D44" i="1"/>
  <c r="D40" i="1"/>
  <c r="E45" i="1" l="1"/>
  <c r="B36" i="1"/>
  <c r="C36" i="1"/>
  <c r="D32" i="1"/>
  <c r="D33" i="1"/>
  <c r="D34" i="1"/>
  <c r="D35" i="1"/>
  <c r="D23" i="1"/>
  <c r="D24" i="1"/>
  <c r="D25" i="1"/>
  <c r="D26" i="1"/>
  <c r="D31" i="1"/>
  <c r="D22" i="1"/>
  <c r="D36" i="1" l="1"/>
  <c r="E27" i="1"/>
</calcChain>
</file>

<file path=xl/sharedStrings.xml><?xml version="1.0" encoding="utf-8"?>
<sst xmlns="http://schemas.openxmlformats.org/spreadsheetml/2006/main" count="93" uniqueCount="71">
  <si>
    <t>Job Description</t>
  </si>
  <si>
    <t>Labor</t>
  </si>
  <si>
    <t>Materials</t>
  </si>
  <si>
    <t>Total</t>
  </si>
  <si>
    <t>Notes</t>
  </si>
  <si>
    <t>Subtotal</t>
  </si>
  <si>
    <t>Date:</t>
  </si>
  <si>
    <t>Quote #:</t>
  </si>
  <si>
    <t>Customer ID:</t>
  </si>
  <si>
    <t>Valid Until:</t>
  </si>
  <si>
    <t>[Company Name]</t>
  </si>
  <si>
    <t>[Customer]</t>
  </si>
  <si>
    <t>Phase 1 - Planning and Selection</t>
  </si>
  <si>
    <t>Scope and Requirements</t>
  </si>
  <si>
    <t>Phase 2 - Systems Analysis</t>
  </si>
  <si>
    <t>Technical Interviews and Research</t>
  </si>
  <si>
    <t>Meetings and Initial Interviews</t>
  </si>
  <si>
    <t>Application Solution Design</t>
  </si>
  <si>
    <t>Phase 3 -Systems Design</t>
  </si>
  <si>
    <t>Database Development</t>
  </si>
  <si>
    <t>Programming</t>
  </si>
  <si>
    <t>Web Design</t>
  </si>
  <si>
    <t>Final Prototype</t>
  </si>
  <si>
    <t>Testing</t>
  </si>
  <si>
    <t>Complete Training</t>
  </si>
  <si>
    <t>Phase 5 - Operation and Maintenance</t>
  </si>
  <si>
    <t xml:space="preserve">Below provide the Critical Path Diagram and Project Duration </t>
  </si>
  <si>
    <t>Convert Data, Prep Production Environment</t>
  </si>
  <si>
    <t>Project Cost Estimate Template</t>
  </si>
  <si>
    <t>Phase 4 - Implementation</t>
  </si>
  <si>
    <r>
      <rPr>
        <b/>
        <sz val="12"/>
        <color rgb="FF545D7E"/>
        <rFont val="Arial"/>
        <family val="2"/>
      </rPr>
      <t>Planning Phase 1</t>
    </r>
    <r>
      <rPr>
        <sz val="12"/>
        <color rgb="FF545D7E"/>
        <rFont val="Arial"/>
        <family val="2"/>
      </rPr>
      <t xml:space="preserve"> - involves gathering requirements, scope, setting project goals, and creating a project plan. </t>
    </r>
  </si>
  <si>
    <r>
      <rPr>
        <b/>
        <sz val="12"/>
        <color rgb="FF545D7E"/>
        <rFont val="Arial"/>
        <family val="2"/>
      </rPr>
      <t>Analysis Phase 2</t>
    </r>
    <r>
      <rPr>
        <sz val="12"/>
        <color rgb="FF545D7E"/>
        <rFont val="Arial"/>
        <family val="2"/>
      </rPr>
      <t xml:space="preserve"> - In this phase, developers go deeper into the requirements gathered during planning, conducting feasibility studies, and defining the scope of the project. </t>
    </r>
  </si>
  <si>
    <r>
      <rPr>
        <b/>
        <sz val="12"/>
        <color rgb="FF545D7E"/>
        <rFont val="Arial"/>
        <family val="2"/>
      </rPr>
      <t xml:space="preserve">Design Phase 3 </t>
    </r>
    <r>
      <rPr>
        <sz val="12"/>
        <color rgb="FF545D7E"/>
        <rFont val="Arial"/>
        <family val="2"/>
      </rPr>
      <t xml:space="preserve">- The design phase focuses on creating the blueprint for the system, including architecture, user interface, database structure, and system specifications. </t>
    </r>
  </si>
  <si>
    <r>
      <rPr>
        <b/>
        <sz val="12"/>
        <color rgb="FF545D7E"/>
        <rFont val="Arial"/>
        <family val="2"/>
      </rPr>
      <t>Implementation Phase 4</t>
    </r>
    <r>
      <rPr>
        <sz val="12"/>
        <color rgb="FF545D7E"/>
        <rFont val="Arial"/>
        <family val="2"/>
      </rPr>
      <t xml:space="preserve">  - This is where the actual development and coding of the system takes place, based on the design specifications. </t>
    </r>
  </si>
  <si>
    <r>
      <rPr>
        <b/>
        <sz val="12"/>
        <color rgb="FF545D7E"/>
        <rFont val="Arial"/>
        <family val="2"/>
      </rPr>
      <t>Operations Phase 5</t>
    </r>
    <r>
      <rPr>
        <sz val="12"/>
        <color rgb="FF545D7E"/>
        <rFont val="Arial"/>
        <family val="2"/>
      </rPr>
      <t xml:space="preserve"> - After the system is deployed, the maintenance and operations phase focuses on addressing any issues, providing updates, and ensuring the system continues to meet user needs. </t>
    </r>
  </si>
  <si>
    <t>1500 Bailey Ave</t>
  </si>
  <si>
    <t>Buffalo NY 14222</t>
  </si>
  <si>
    <t>https://datasoftlogic.com/home-health-software</t>
  </si>
  <si>
    <t>716-230-9965</t>
  </si>
  <si>
    <t>Yash (Project Manager), Lucky(system analyst)</t>
  </si>
  <si>
    <t>YP-BUFF3905</t>
  </si>
  <si>
    <t>HEALTHSYS-003</t>
  </si>
  <si>
    <t>file:///C:/Users/04yas/OneDrive%20-%20buffalostate.edu/CIS%20370/healthylife-clinic-project/healthylife-clinic-project/index.html</t>
  </si>
  <si>
    <t>1300 Elmwood Ave</t>
  </si>
  <si>
    <t>Buffalo NY 14234</t>
  </si>
  <si>
    <t xml:space="preserve">Design and development of a clinic system for Doctors, Admins, and Patients to manage appointments, records, communication, </t>
  </si>
  <si>
    <t>and billing with secure access and support features.</t>
  </si>
  <si>
    <t xml:space="preserve">Competitive &amp; Market Research </t>
  </si>
  <si>
    <t xml:space="preserve">Hight- Level Project Planing </t>
  </si>
  <si>
    <t>Discussions with doctors, admin, and patient</t>
  </si>
  <si>
    <t>Interactive Sessions to define system requirements</t>
  </si>
  <si>
    <t>Researching existing health clinic system</t>
  </si>
  <si>
    <t>Timeline, goals, resource allocation, risk overview</t>
  </si>
  <si>
    <t>Use Case &amp; User Flow Development</t>
  </si>
  <si>
    <t xml:space="preserve">Risk &amp; Feasibility Analysis </t>
  </si>
  <si>
    <t>Backend tech and system compatibility research</t>
  </si>
  <si>
    <t>Structure of workflows for doctors/ Admins/ Patients</t>
  </si>
  <si>
    <t>Defines key user interactions and scenarios</t>
  </si>
  <si>
    <t>Assess project risk, timelines, database feasibility</t>
  </si>
  <si>
    <t>Schema design, relationship, ERD Setup</t>
  </si>
  <si>
    <t>Backend logic structure and reusable components</t>
  </si>
  <si>
    <t>UI Elements, responsive layouts, branding</t>
  </si>
  <si>
    <t>Clickable mockup with functional interface</t>
  </si>
  <si>
    <t>Design phase testing for early bug fixes and feedback</t>
  </si>
  <si>
    <t>Training sessions for Admins, Doctors, and Patients</t>
  </si>
  <si>
    <t>Data migration and final environment configuration</t>
  </si>
  <si>
    <t>Final User training sessions for clinic staff</t>
  </si>
  <si>
    <t>Datamigration and go-live prep for production server</t>
  </si>
  <si>
    <t xml:space="preserve">Grand Total: </t>
  </si>
  <si>
    <t>Mariagarrityhealthylife98@gmail.com, +17168783570</t>
  </si>
  <si>
    <t>Maria Garrity (Clinic Manager)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</si>
</sst>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545D7E"/>
      <name val="Arial"/>
      <family val="2"/>
    </font>
    <font>
      <sz val="14"/>
      <color rgb="FF001D35"/>
      <name val="Arial"/>
      <family val="2"/>
    </font>
    <font>
      <sz val="24"/>
      <color theme="1"/>
      <name val="Calibri"/>
      <family val="2"/>
      <scheme val="minor"/>
    </font>
    <font>
      <b/>
      <sz val="12"/>
      <color rgb="FF545D7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44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4" borderId="0" xfId="0" applyFill="1"/>
    <xf numFmtId="44" fontId="0" fillId="0" borderId="1" xfId="3" applyFont="1" applyBorder="1"/>
    <xf numFmtId="44" fontId="0" fillId="0" borderId="3" xfId="3" applyFont="1" applyBorder="1"/>
    <xf numFmtId="0" fontId="5" fillId="4" borderId="0" xfId="0" applyFont="1" applyFill="1"/>
    <xf numFmtId="0" fontId="0" fillId="4" borderId="5" xfId="0" applyFill="1" applyBorder="1"/>
    <xf numFmtId="0" fontId="5" fillId="4" borderId="5" xfId="0" applyFont="1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6" xfId="0" applyFill="1" applyBorder="1"/>
    <xf numFmtId="0" fontId="0" fillId="0" borderId="15" xfId="0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5" borderId="8" xfId="0" applyFill="1" applyBorder="1"/>
    <xf numFmtId="0" fontId="0" fillId="5" borderId="2" xfId="0" applyFill="1" applyBorder="1"/>
    <xf numFmtId="44" fontId="0" fillId="5" borderId="1" xfId="0" applyNumberFormat="1" applyFill="1" applyBorder="1"/>
    <xf numFmtId="0" fontId="0" fillId="5" borderId="9" xfId="0" applyFill="1" applyBorder="1"/>
    <xf numFmtId="0" fontId="0" fillId="5" borderId="6" xfId="0" applyFill="1" applyBorder="1"/>
    <xf numFmtId="44" fontId="0" fillId="5" borderId="1" xfId="3" applyFont="1" applyFill="1" applyBorder="1"/>
    <xf numFmtId="44" fontId="0" fillId="5" borderId="3" xfId="3" applyFont="1" applyFill="1" applyBorder="1"/>
    <xf numFmtId="0" fontId="0" fillId="5" borderId="7" xfId="0" applyFill="1" applyBorder="1"/>
    <xf numFmtId="44" fontId="0" fillId="0" borderId="2" xfId="3" applyFont="1" applyBorder="1"/>
    <xf numFmtId="44" fontId="0" fillId="5" borderId="2" xfId="3" applyFont="1" applyFill="1" applyBorder="1"/>
    <xf numFmtId="164" fontId="0" fillId="5" borderId="2" xfId="3" applyNumberFormat="1" applyFont="1" applyFill="1" applyBorder="1"/>
    <xf numFmtId="0" fontId="2" fillId="6" borderId="12" xfId="2" applyFont="1" applyFill="1" applyBorder="1"/>
    <xf numFmtId="0" fontId="0" fillId="6" borderId="21" xfId="0" applyFill="1" applyBorder="1"/>
    <xf numFmtId="0" fontId="0" fillId="6" borderId="22" xfId="0" applyFill="1" applyBorder="1"/>
    <xf numFmtId="0" fontId="2" fillId="6" borderId="17" xfId="2" applyFont="1" applyFill="1" applyBorder="1"/>
    <xf numFmtId="0" fontId="2" fillId="6" borderId="4" xfId="0" applyFont="1" applyFill="1" applyBorder="1"/>
    <xf numFmtId="0" fontId="0" fillId="6" borderId="0" xfId="0" applyFill="1"/>
    <xf numFmtId="0" fontId="5" fillId="6" borderId="0" xfId="0" applyFont="1" applyFill="1"/>
    <xf numFmtId="0" fontId="5" fillId="6" borderId="5" xfId="0" applyFont="1" applyFill="1" applyBorder="1"/>
    <xf numFmtId="0" fontId="4" fillId="6" borderId="4" xfId="0" applyFont="1" applyFill="1" applyBorder="1"/>
    <xf numFmtId="0" fontId="4" fillId="6" borderId="0" xfId="0" applyFont="1" applyFill="1"/>
    <xf numFmtId="0" fontId="2" fillId="6" borderId="0" xfId="0" applyFont="1" applyFill="1"/>
    <xf numFmtId="0" fontId="2" fillId="6" borderId="5" xfId="0" applyFont="1" applyFill="1" applyBorder="1"/>
    <xf numFmtId="0" fontId="3" fillId="4" borderId="0" xfId="0" applyFont="1" applyFill="1"/>
    <xf numFmtId="0" fontId="7" fillId="4" borderId="0" xfId="4" applyFill="1"/>
    <xf numFmtId="0" fontId="0" fillId="5" borderId="4" xfId="0" applyFill="1" applyBorder="1"/>
    <xf numFmtId="0" fontId="0" fillId="5" borderId="0" xfId="0" applyFill="1"/>
    <xf numFmtId="164" fontId="0" fillId="5" borderId="0" xfId="3" applyNumberFormat="1" applyFont="1" applyFill="1" applyBorder="1"/>
    <xf numFmtId="44" fontId="0" fillId="5" borderId="0" xfId="3" applyFont="1" applyFill="1" applyBorder="1"/>
    <xf numFmtId="44" fontId="0" fillId="5" borderId="0" xfId="0" applyNumberFormat="1" applyFill="1"/>
    <xf numFmtId="0" fontId="0" fillId="5" borderId="5" xfId="0" applyFill="1" applyBorder="1"/>
    <xf numFmtId="0" fontId="9" fillId="0" borderId="0" xfId="0" applyFont="1" applyAlignment="1">
      <alignment vertical="center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0" fillId="4" borderId="0" xfId="0" applyFont="1" applyFill="1"/>
    <xf numFmtId="14" fontId="0" fillId="0" borderId="1" xfId="0" applyNumberFormat="1" applyBorder="1"/>
    <xf numFmtId="0" fontId="7" fillId="0" borderId="19" xfId="4" applyBorder="1"/>
    <xf numFmtId="0" fontId="7" fillId="0" borderId="20" xfId="4" applyBorder="1"/>
    <xf numFmtId="6" fontId="0" fillId="0" borderId="1" xfId="3" applyNumberFormat="1" applyFont="1" applyBorder="1"/>
    <xf numFmtId="6" fontId="0" fillId="0" borderId="3" xfId="0" applyNumberFormat="1" applyBorder="1"/>
    <xf numFmtId="6" fontId="0" fillId="0" borderId="1" xfId="0" applyNumberFormat="1" applyBorder="1"/>
    <xf numFmtId="0" fontId="0" fillId="0" borderId="3" xfId="0" applyBorder="1"/>
    <xf numFmtId="44" fontId="0" fillId="0" borderId="28" xfId="3" applyFont="1" applyBorder="1"/>
    <xf numFmtId="3" fontId="0" fillId="7" borderId="2" xfId="0" applyNumberFormat="1" applyFill="1" applyBorder="1"/>
    <xf numFmtId="44" fontId="0" fillId="7" borderId="2" xfId="0" applyNumberFormat="1" applyFill="1" applyBorder="1"/>
    <xf numFmtId="44" fontId="0" fillId="7" borderId="29" xfId="0" applyNumberFormat="1" applyFill="1" applyBorder="1"/>
    <xf numFmtId="6" fontId="0" fillId="0" borderId="0" xfId="0" applyNumberFormat="1"/>
    <xf numFmtId="6" fontId="0" fillId="5" borderId="2" xfId="0" applyNumberFormat="1" applyFill="1" applyBorder="1"/>
    <xf numFmtId="3" fontId="0" fillId="0" borderId="0" xfId="0" applyNumberFormat="1"/>
  </cellXfs>
  <cellStyles count="5">
    <cellStyle name="Accent1" xfId="2" builtinId="29"/>
    <cellStyle name="Currency" xfId="3" builtinId="4"/>
    <cellStyle name="Good" xfId="1" builtinId="2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69</xdr:row>
      <xdr:rowOff>0</xdr:rowOff>
    </xdr:from>
    <xdr:to>
      <xdr:col>0</xdr:col>
      <xdr:colOff>7772400</xdr:colOff>
      <xdr:row>100</xdr:row>
      <xdr:rowOff>142522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81D8BA-BAA8-0488-2DEF-DE0545379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09333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7831667</xdr:colOff>
      <xdr:row>68</xdr:row>
      <xdr:rowOff>70556</xdr:rowOff>
    </xdr:from>
    <xdr:to>
      <xdr:col>5</xdr:col>
      <xdr:colOff>1207911</xdr:colOff>
      <xdr:row>101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D24679-AEF7-CD35-CFED-C3483FEE8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1667" y="15296445"/>
          <a:ext cx="7543800" cy="61101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agarrityhealthylife98@gmail.com,%20+17168783570" TargetMode="External"/><Relationship Id="rId1" Type="http://schemas.openxmlformats.org/officeDocument/2006/relationships/hyperlink" Target="file:///C:\Users\04yas\OneDrive%20-%20buffalostate.edu\CIS%20370\healthylife-clinic-project\healthylife-clinic-project\index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35A6-FB94-43DA-B723-83BAFA3BDC36}">
  <dimension ref="A1:HN68"/>
  <sheetViews>
    <sheetView tabSelected="1" topLeftCell="A2" zoomScaleNormal="100" workbookViewId="0">
      <selection activeCell="A10" sqref="A10"/>
    </sheetView>
  </sheetViews>
  <sheetFormatPr defaultRowHeight="14.4" x14ac:dyDescent="0.3"/>
  <cols>
    <col min="1" max="1" width="114.6640625" customWidth="1"/>
    <col min="2" max="2" width="20.44140625" customWidth="1"/>
    <col min="3" max="3" width="11.5546875" customWidth="1"/>
    <col min="4" max="4" width="14.33203125" customWidth="1"/>
    <col min="5" max="5" width="45.6640625" customWidth="1"/>
    <col min="6" max="6" width="51.6640625" customWidth="1"/>
  </cols>
  <sheetData>
    <row r="1" spans="1:222" s="1" customFormat="1" ht="39.75" customHeight="1" x14ac:dyDescent="0.6">
      <c r="A1" s="60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</row>
    <row r="2" spans="1:222" ht="22.5" customHeight="1" thickBot="1" x14ac:dyDescent="0.35">
      <c r="A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222" x14ac:dyDescent="0.3">
      <c r="A3" s="37" t="s">
        <v>10</v>
      </c>
      <c r="B3" s="38"/>
      <c r="C3" s="38"/>
      <c r="D3" s="38"/>
      <c r="E3" s="38"/>
      <c r="F3" s="3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spans="1:222" ht="15" thickBot="1" x14ac:dyDescent="0.35">
      <c r="A4" s="18" t="s">
        <v>35</v>
      </c>
      <c r="B4" s="17" t="s">
        <v>6</v>
      </c>
      <c r="C4" s="61">
        <v>45382</v>
      </c>
      <c r="D4" s="8"/>
      <c r="E4" s="8"/>
      <c r="F4" s="1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222" ht="15" thickBot="1" x14ac:dyDescent="0.35">
      <c r="A5" s="19" t="s">
        <v>44</v>
      </c>
      <c r="B5" s="17" t="s">
        <v>7</v>
      </c>
      <c r="C5" s="2" t="s">
        <v>41</v>
      </c>
      <c r="D5" s="8"/>
      <c r="E5" s="8"/>
      <c r="F5" s="12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spans="1:222" ht="15" thickBot="1" x14ac:dyDescent="0.35">
      <c r="A6" s="19" t="s">
        <v>37</v>
      </c>
      <c r="B6" s="17" t="s">
        <v>8</v>
      </c>
      <c r="C6" s="2" t="s">
        <v>40</v>
      </c>
      <c r="D6" s="8"/>
      <c r="E6" s="8"/>
      <c r="F6" s="1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spans="1:222" ht="15" thickBot="1" x14ac:dyDescent="0.35">
      <c r="A7" s="19" t="s">
        <v>38</v>
      </c>
      <c r="B7" s="17" t="s">
        <v>9</v>
      </c>
      <c r="C7" s="61">
        <v>45792</v>
      </c>
      <c r="D7" s="8"/>
      <c r="E7" s="8"/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222" x14ac:dyDescent="0.3">
      <c r="A8" s="20" t="s">
        <v>39</v>
      </c>
      <c r="B8" s="8"/>
      <c r="C8" s="8"/>
      <c r="D8" s="8"/>
      <c r="E8" s="8"/>
      <c r="F8" s="1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222" x14ac:dyDescent="0.3">
      <c r="A9" s="40" t="s">
        <v>11</v>
      </c>
      <c r="B9" s="11"/>
      <c r="C9" s="11"/>
      <c r="D9" s="11"/>
      <c r="E9" s="11"/>
      <c r="F9" s="1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222" ht="15" thickBot="1" x14ac:dyDescent="0.35">
      <c r="A10" s="18" t="s">
        <v>70</v>
      </c>
      <c r="B10" s="8"/>
      <c r="C10" s="8"/>
      <c r="D10" s="8"/>
      <c r="E10" s="8"/>
      <c r="F10" s="1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222" ht="15" thickBot="1" x14ac:dyDescent="0.35">
      <c r="A11" s="62" t="s">
        <v>42</v>
      </c>
      <c r="B11" s="8"/>
      <c r="C11" s="8"/>
      <c r="D11" s="8"/>
      <c r="E11" s="8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222" ht="15" thickBot="1" x14ac:dyDescent="0.35">
      <c r="A12" s="19" t="s">
        <v>43</v>
      </c>
      <c r="B12" s="8"/>
      <c r="C12" s="8"/>
      <c r="D12" s="8"/>
      <c r="E12" s="8"/>
      <c r="F12" s="12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1:222" ht="15" thickBot="1" x14ac:dyDescent="0.35">
      <c r="A13" s="19" t="s">
        <v>36</v>
      </c>
      <c r="B13" s="8"/>
      <c r="C13" s="8"/>
      <c r="D13" s="8"/>
      <c r="E13" s="8"/>
      <c r="F13" s="12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222" x14ac:dyDescent="0.3">
      <c r="A14" s="63" t="s">
        <v>69</v>
      </c>
      <c r="B14" s="8"/>
      <c r="C14" s="8"/>
      <c r="D14" s="8"/>
      <c r="E14" s="8"/>
      <c r="F14" s="12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spans="1:222" x14ac:dyDescent="0.3">
      <c r="A15" s="41" t="s">
        <v>0</v>
      </c>
      <c r="B15" s="42"/>
      <c r="C15" s="42"/>
      <c r="D15" s="43"/>
      <c r="E15" s="43"/>
      <c r="F15" s="4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222" x14ac:dyDescent="0.3">
      <c r="A16" s="21" t="s">
        <v>45</v>
      </c>
      <c r="B16" s="14"/>
      <c r="C16" s="14"/>
      <c r="D16" s="14"/>
      <c r="E16" s="14"/>
      <c r="F16" s="22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spans="1:41" x14ac:dyDescent="0.3">
      <c r="A17" s="23" t="s">
        <v>46</v>
      </c>
      <c r="B17" s="15"/>
      <c r="C17" s="15"/>
      <c r="D17" s="15"/>
      <c r="E17" s="15"/>
      <c r="F17" s="2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x14ac:dyDescent="0.3">
      <c r="A18" s="23"/>
      <c r="B18" s="15"/>
      <c r="C18" s="15"/>
      <c r="D18" s="15"/>
      <c r="E18" s="15"/>
      <c r="F18" s="2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x14ac:dyDescent="0.3">
      <c r="A19" s="23"/>
      <c r="B19" s="15"/>
      <c r="C19" s="15"/>
      <c r="D19" s="15"/>
      <c r="E19" s="15"/>
      <c r="F19" s="2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38.25" customHeight="1" x14ac:dyDescent="0.3">
      <c r="A20" s="58" t="s">
        <v>30</v>
      </c>
      <c r="B20" s="16"/>
      <c r="C20" s="16"/>
      <c r="D20" s="16"/>
      <c r="E20" s="16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spans="1:41" x14ac:dyDescent="0.3">
      <c r="A21" s="45" t="s">
        <v>12</v>
      </c>
      <c r="B21" s="47" t="s">
        <v>1</v>
      </c>
      <c r="C21" s="46" t="s">
        <v>2</v>
      </c>
      <c r="D21" s="47" t="s">
        <v>3</v>
      </c>
      <c r="E21" s="48" t="s">
        <v>4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1" x14ac:dyDescent="0.3">
      <c r="A22" s="3" t="s">
        <v>16</v>
      </c>
      <c r="B22" s="64">
        <v>1200</v>
      </c>
      <c r="C22" s="9">
        <v>300</v>
      </c>
      <c r="D22" s="9">
        <f>B22+C22</f>
        <v>1500</v>
      </c>
      <c r="E22" s="4" t="s">
        <v>49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1" x14ac:dyDescent="0.3">
      <c r="A23" s="3" t="s">
        <v>13</v>
      </c>
      <c r="B23" s="64">
        <v>1800</v>
      </c>
      <c r="C23" s="9">
        <v>400</v>
      </c>
      <c r="D23" s="9">
        <f t="shared" ref="D23:D26" si="0">B23+C23</f>
        <v>2200</v>
      </c>
      <c r="E23" s="4" t="s">
        <v>50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1" x14ac:dyDescent="0.3">
      <c r="A24" t="s">
        <v>47</v>
      </c>
      <c r="B24" s="64">
        <v>900</v>
      </c>
      <c r="C24" s="9">
        <v>300</v>
      </c>
      <c r="D24" s="9">
        <f t="shared" si="0"/>
        <v>1200</v>
      </c>
      <c r="E24" s="4" t="s">
        <v>51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1" x14ac:dyDescent="0.3">
      <c r="A25" s="3" t="s">
        <v>48</v>
      </c>
      <c r="B25" s="64">
        <v>500</v>
      </c>
      <c r="C25" s="9">
        <v>200</v>
      </c>
      <c r="D25" s="9">
        <f t="shared" si="0"/>
        <v>700</v>
      </c>
      <c r="E25" s="4" t="s">
        <v>52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1" x14ac:dyDescent="0.3">
      <c r="A26" s="3"/>
      <c r="B26" s="34"/>
      <c r="C26" s="34"/>
      <c r="D26" s="9">
        <f t="shared" si="0"/>
        <v>0</v>
      </c>
      <c r="E26" s="5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1" x14ac:dyDescent="0.3">
      <c r="A27" s="26" t="s">
        <v>5</v>
      </c>
      <c r="B27" s="73">
        <v>4400</v>
      </c>
      <c r="C27" s="36">
        <v>1200</v>
      </c>
      <c r="D27" s="35">
        <v>5600</v>
      </c>
      <c r="E27" s="28">
        <f>SUM(D22:D26)</f>
        <v>5600</v>
      </c>
      <c r="F27" s="2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spans="1:41" x14ac:dyDescent="0.3">
      <c r="A28" s="52"/>
      <c r="B28" s="52"/>
      <c r="C28" s="53"/>
      <c r="D28" s="54"/>
      <c r="E28" s="55"/>
      <c r="F28" s="5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spans="1:41" ht="31.2" x14ac:dyDescent="0.3">
      <c r="A29" s="59" t="s">
        <v>31</v>
      </c>
      <c r="B29" s="52"/>
      <c r="C29" s="53"/>
      <c r="D29" s="54"/>
      <c r="E29" s="55"/>
      <c r="F29" s="5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spans="1:41" x14ac:dyDescent="0.3">
      <c r="A30" s="45" t="s">
        <v>14</v>
      </c>
      <c r="B30" s="47" t="s">
        <v>1</v>
      </c>
      <c r="C30" s="46" t="s">
        <v>2</v>
      </c>
      <c r="D30" s="47" t="s">
        <v>3</v>
      </c>
      <c r="E30" s="48" t="s">
        <v>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1" x14ac:dyDescent="0.3">
      <c r="A31" s="6" t="s">
        <v>15</v>
      </c>
      <c r="B31" s="10">
        <v>1000</v>
      </c>
      <c r="C31" s="65">
        <v>300</v>
      </c>
      <c r="D31" s="10">
        <f>B31+C31</f>
        <v>1300</v>
      </c>
      <c r="E31" s="7" t="s">
        <v>55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1" x14ac:dyDescent="0.3">
      <c r="A32" s="3" t="s">
        <v>17</v>
      </c>
      <c r="B32" s="9">
        <v>1500</v>
      </c>
      <c r="C32" s="66">
        <v>500</v>
      </c>
      <c r="D32" s="10">
        <f t="shared" ref="D32:D35" si="1">B32+C32</f>
        <v>2000</v>
      </c>
      <c r="E32" s="4" t="s">
        <v>56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1" x14ac:dyDescent="0.3">
      <c r="A33" s="3" t="s">
        <v>53</v>
      </c>
      <c r="B33" s="9">
        <v>1000</v>
      </c>
      <c r="C33" s="66">
        <v>200</v>
      </c>
      <c r="D33" s="10">
        <f t="shared" si="1"/>
        <v>1200</v>
      </c>
      <c r="E33" s="4" t="s">
        <v>57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1" x14ac:dyDescent="0.3">
      <c r="A34" s="3" t="s">
        <v>54</v>
      </c>
      <c r="B34" s="9">
        <v>700</v>
      </c>
      <c r="C34" s="66">
        <v>200</v>
      </c>
      <c r="D34" s="10">
        <f t="shared" si="1"/>
        <v>900</v>
      </c>
      <c r="E34" s="4" t="s">
        <v>58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1" x14ac:dyDescent="0.3">
      <c r="A35" s="3"/>
      <c r="B35" s="9"/>
      <c r="C35" s="2"/>
      <c r="D35" s="10">
        <f t="shared" si="1"/>
        <v>0</v>
      </c>
      <c r="E35" s="4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 spans="1:41" x14ac:dyDescent="0.3">
      <c r="A36" s="30" t="s">
        <v>5</v>
      </c>
      <c r="B36" s="31">
        <f>SUM(B31:B35)</f>
        <v>4200</v>
      </c>
      <c r="C36" s="31">
        <f>SUM(C31:C35)</f>
        <v>1200</v>
      </c>
      <c r="D36" s="32">
        <f>SUM(D31:D35)</f>
        <v>5400</v>
      </c>
      <c r="E36" s="3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spans="1:41" x14ac:dyDescent="0.3">
      <c r="A37" s="52"/>
      <c r="B37" s="52"/>
      <c r="C37" s="54"/>
      <c r="D37" s="54"/>
      <c r="E37" s="54"/>
      <c r="F37" s="5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spans="1:41" ht="51" customHeight="1" x14ac:dyDescent="0.3">
      <c r="A38" s="59" t="s">
        <v>32</v>
      </c>
      <c r="B38" s="52"/>
      <c r="C38" s="54"/>
      <c r="D38" s="54"/>
      <c r="E38" s="54"/>
      <c r="F38" s="5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spans="1:41" x14ac:dyDescent="0.3">
      <c r="A39" s="45" t="s">
        <v>18</v>
      </c>
      <c r="B39" s="47" t="s">
        <v>1</v>
      </c>
      <c r="C39" s="46" t="s">
        <v>2</v>
      </c>
      <c r="D39" s="47" t="s">
        <v>3</v>
      </c>
      <c r="E39" s="48" t="s">
        <v>4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spans="1:41" x14ac:dyDescent="0.3">
      <c r="A40" s="3" t="s">
        <v>19</v>
      </c>
      <c r="B40" s="9">
        <v>1500</v>
      </c>
      <c r="C40" s="9">
        <v>400</v>
      </c>
      <c r="D40" s="9">
        <f>B40+C40</f>
        <v>1900</v>
      </c>
      <c r="E40" s="4" t="s">
        <v>59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pans="1:41" x14ac:dyDescent="0.3">
      <c r="A41" s="3" t="s">
        <v>20</v>
      </c>
      <c r="B41" s="66">
        <v>1600</v>
      </c>
      <c r="C41" s="66">
        <v>400</v>
      </c>
      <c r="D41" s="9">
        <f t="shared" ref="D41:D45" si="2">B41+C41</f>
        <v>2000</v>
      </c>
      <c r="E41" s="4" t="s">
        <v>60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1" x14ac:dyDescent="0.3">
      <c r="A42" s="3" t="s">
        <v>21</v>
      </c>
      <c r="B42" s="66">
        <v>1000</v>
      </c>
      <c r="C42" s="66">
        <v>300</v>
      </c>
      <c r="D42" s="9">
        <f t="shared" si="2"/>
        <v>1300</v>
      </c>
      <c r="E42" s="4" t="s">
        <v>61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1" x14ac:dyDescent="0.3">
      <c r="A43" s="3" t="s">
        <v>22</v>
      </c>
      <c r="B43" s="66">
        <v>1200</v>
      </c>
      <c r="C43" s="66">
        <v>300</v>
      </c>
      <c r="D43" s="9">
        <f t="shared" si="2"/>
        <v>1500</v>
      </c>
      <c r="E43" s="4" t="s">
        <v>62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 spans="1:41" x14ac:dyDescent="0.3">
      <c r="A44" s="3" t="s">
        <v>23</v>
      </c>
      <c r="B44" s="66">
        <v>700</v>
      </c>
      <c r="C44" s="66">
        <v>300</v>
      </c>
      <c r="D44" s="9">
        <f t="shared" si="2"/>
        <v>1000</v>
      </c>
      <c r="E44" s="4" t="s">
        <v>63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1" x14ac:dyDescent="0.3">
      <c r="A45" s="26" t="s">
        <v>5</v>
      </c>
      <c r="B45" s="73">
        <v>6000</v>
      </c>
      <c r="C45" s="73">
        <v>1700</v>
      </c>
      <c r="D45" s="27">
        <f t="shared" si="2"/>
        <v>7700</v>
      </c>
      <c r="E45" s="31">
        <f>SUM(D40:D44)</f>
        <v>7700</v>
      </c>
      <c r="F45" s="2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spans="1:41" x14ac:dyDescent="0.3">
      <c r="A46" s="52"/>
      <c r="B46" s="52"/>
      <c r="C46" s="52"/>
      <c r="D46" s="52"/>
      <c r="E46" s="54"/>
      <c r="F46" s="5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spans="1:41" ht="51" customHeight="1" x14ac:dyDescent="0.3">
      <c r="A47" s="59" t="s">
        <v>33</v>
      </c>
      <c r="B47" s="52"/>
      <c r="C47" s="52"/>
      <c r="D47" s="52"/>
      <c r="E47" s="54"/>
      <c r="F47" s="5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spans="1:41" x14ac:dyDescent="0.3">
      <c r="A48" s="45" t="s">
        <v>29</v>
      </c>
      <c r="B48" s="47" t="s">
        <v>1</v>
      </c>
      <c r="C48" s="46" t="s">
        <v>2</v>
      </c>
      <c r="D48" s="47" t="s">
        <v>3</v>
      </c>
      <c r="E48" s="48" t="s">
        <v>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 spans="1:41" x14ac:dyDescent="0.3">
      <c r="A49" s="3" t="s">
        <v>24</v>
      </c>
      <c r="B49" s="9">
        <v>900</v>
      </c>
      <c r="C49" s="9">
        <v>200</v>
      </c>
      <c r="D49" s="9">
        <f>B49+C49</f>
        <v>1100</v>
      </c>
      <c r="E49" s="4" t="s">
        <v>64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spans="1:41" x14ac:dyDescent="0.3">
      <c r="A50" s="3" t="s">
        <v>27</v>
      </c>
      <c r="B50" s="2">
        <v>1000</v>
      </c>
      <c r="C50" s="2">
        <v>300</v>
      </c>
      <c r="D50" s="9">
        <f t="shared" ref="D50:D52" si="3">B50+C50</f>
        <v>1300</v>
      </c>
      <c r="E50" s="4" t="s">
        <v>65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</row>
    <row r="51" spans="1:41" x14ac:dyDescent="0.3">
      <c r="B51" s="2"/>
      <c r="C51" s="2"/>
      <c r="D51" s="9">
        <f t="shared" si="3"/>
        <v>0</v>
      </c>
      <c r="E51" s="4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</row>
    <row r="52" spans="1:41" x14ac:dyDescent="0.3">
      <c r="A52" s="3"/>
      <c r="B52" s="2"/>
      <c r="C52" s="2"/>
      <c r="D52" s="9">
        <f t="shared" si="3"/>
        <v>0</v>
      </c>
      <c r="E52" s="4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 spans="1:41" x14ac:dyDescent="0.3">
      <c r="A53" s="26" t="s">
        <v>5</v>
      </c>
      <c r="B53" s="73">
        <v>1900</v>
      </c>
      <c r="C53" s="73">
        <v>500</v>
      </c>
      <c r="D53" s="73">
        <v>2400</v>
      </c>
      <c r="E53" s="31">
        <f>SUM(D48:D52)</f>
        <v>2400</v>
      </c>
      <c r="F53" s="2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x14ac:dyDescent="0.3">
      <c r="A54" s="52"/>
      <c r="B54" s="52"/>
      <c r="C54" s="52"/>
      <c r="D54" s="52"/>
      <c r="E54" s="54"/>
      <c r="F54" s="5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spans="1:41" ht="69" customHeight="1" x14ac:dyDescent="0.3">
      <c r="A55" s="59" t="s">
        <v>34</v>
      </c>
      <c r="B55" s="52"/>
      <c r="C55" s="52"/>
      <c r="D55" s="52"/>
      <c r="E55" s="54"/>
      <c r="F55" s="5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spans="1:41" x14ac:dyDescent="0.3">
      <c r="A56" s="45" t="s">
        <v>25</v>
      </c>
      <c r="B56" s="47" t="s">
        <v>1</v>
      </c>
      <c r="C56" s="46" t="s">
        <v>2</v>
      </c>
      <c r="D56" s="47" t="s">
        <v>3</v>
      </c>
      <c r="E56" s="48" t="s">
        <v>4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1" x14ac:dyDescent="0.3">
      <c r="A57" s="3" t="s">
        <v>24</v>
      </c>
      <c r="B57" s="9">
        <v>1000</v>
      </c>
      <c r="C57" s="9">
        <v>300</v>
      </c>
      <c r="D57" s="9">
        <f>B57+C57</f>
        <v>1300</v>
      </c>
      <c r="E57" s="4" t="s">
        <v>66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spans="1:4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1:41" x14ac:dyDescent="0.3">
      <c r="A59" s="3" t="s">
        <v>27</v>
      </c>
      <c r="B59" s="2">
        <v>1500</v>
      </c>
      <c r="C59" s="2">
        <v>500</v>
      </c>
      <c r="D59" s="9">
        <f t="shared" ref="D59" si="4">B59+C59</f>
        <v>2000</v>
      </c>
      <c r="E59" s="4" t="s">
        <v>67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</row>
    <row r="60" spans="1:41" x14ac:dyDescent="0.3">
      <c r="A60" s="3"/>
      <c r="B60" s="2"/>
      <c r="C60" s="2"/>
      <c r="D60" s="9"/>
      <c r="E60" s="4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r="61" spans="1:41" x14ac:dyDescent="0.3">
      <c r="A61" s="26" t="s">
        <v>5</v>
      </c>
      <c r="B61" s="73">
        <v>2000</v>
      </c>
      <c r="C61" s="73">
        <v>800</v>
      </c>
      <c r="D61" s="73">
        <v>3300</v>
      </c>
      <c r="E61" s="31">
        <f>SUM(D56:D60)</f>
        <v>3300</v>
      </c>
      <c r="F61" s="2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x14ac:dyDescent="0.3">
      <c r="A62" s="51"/>
      <c r="B62" s="52"/>
      <c r="C62" s="52"/>
      <c r="D62" s="52"/>
      <c r="E62" s="54"/>
      <c r="F62" s="5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x14ac:dyDescent="0.3">
      <c r="A63" s="67" t="s">
        <v>68</v>
      </c>
      <c r="B63" s="72">
        <v>18500</v>
      </c>
      <c r="C63" s="72">
        <v>5400</v>
      </c>
      <c r="D63" s="72">
        <v>24400</v>
      </c>
      <c r="E63" s="74">
        <v>24400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r="64" spans="1:41" x14ac:dyDescent="0.3">
      <c r="A64" s="2"/>
      <c r="B64" s="72"/>
      <c r="C64" s="67"/>
      <c r="D64" s="6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 spans="1:41" x14ac:dyDescent="0.3">
      <c r="A65" s="69"/>
      <c r="B65" s="70"/>
      <c r="C65" s="70"/>
      <c r="D65" s="71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</row>
    <row r="66" spans="1:41" x14ac:dyDescent="0.3">
      <c r="A66" s="8"/>
      <c r="B66" s="8"/>
      <c r="C66" s="8"/>
      <c r="D66" s="4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ht="17.399999999999999" x14ac:dyDescent="0.3">
      <c r="A67" s="57" t="s">
        <v>26</v>
      </c>
      <c r="B67" s="8"/>
      <c r="C67" s="8"/>
      <c r="D67" s="50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ht="17.399999999999999" x14ac:dyDescent="0.3">
      <c r="A68" s="57"/>
    </row>
  </sheetData>
  <hyperlinks>
    <hyperlink ref="A11" r:id="rId1" xr:uid="{D6E5E113-3427-4321-96E4-F3DBB9A3AC8E}"/>
    <hyperlink ref="A14" r:id="rId2" xr:uid="{05359E98-3476-4ECE-A9CB-D6C168E30B67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0C4D9-8296-40E6-B95F-89DA4C728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Patel, YashMilinkumar</cp:lastModifiedBy>
  <dcterms:created xsi:type="dcterms:W3CDTF">2021-01-06T17:51:19Z</dcterms:created>
  <dcterms:modified xsi:type="dcterms:W3CDTF">2025-04-04T18:29:10Z</dcterms:modified>
</cp:coreProperties>
</file>